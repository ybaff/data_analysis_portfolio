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_10_profit_items" sheetId="1" r:id="rId5"/>
    <sheet state="visible" name="Pivot Table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<sst xmlns="http://schemas.openxmlformats.org/spreadsheetml/2006/main" count="29" uniqueCount="18">
  <si>
    <t>product</t>
  </si>
  <si>
    <t>total_profit</t>
  </si>
  <si>
    <t>freight_value</t>
  </si>
  <si>
    <t>pct_profit</t>
  </si>
  <si>
    <t>health_beauty</t>
  </si>
  <si>
    <t>watches_gifts</t>
  </si>
  <si>
    <t>bed_bath_table</t>
  </si>
  <si>
    <t>sports_leisure</t>
  </si>
  <si>
    <t>computers_accessories</t>
  </si>
  <si>
    <t>furniture_decor</t>
  </si>
  <si>
    <t>cool_stuff</t>
  </si>
  <si>
    <t>housewares</t>
  </si>
  <si>
    <t>auto</t>
  </si>
  <si>
    <t>garden_tools</t>
  </si>
  <si>
    <t>SUM of total_profit</t>
  </si>
  <si>
    <t>SUM of freight_value</t>
  </si>
  <si>
    <t>SUM of pct_profit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</si>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</sst>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op_10_profit_item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pct_profit vs. product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top_10_profit_items!$D$1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top_10_profit_items!$A$2:$A$11</c:f>
            </c:strRef>
          </c:cat>
          <c:val>
            <c:numRef>
              <c:f>top_10_profit_items!$D$2:$D$11</c:f>
              <c:numCache/>
            </c:numRef>
          </c:val>
        </c:ser>
        <c:axId val="1464563240"/>
        <c:axId val="845608522"/>
      </c:barChart>
      <c:catAx>
        <c:axId val="1464563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5608522"/>
      </c:catAx>
      <c:valAx>
        <c:axId val="8456085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pct_profit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45632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</xdr:colOff>
      <xdr:row>1</xdr:row>
      <xdr:rowOff>76200</xdr:rowOff>
    </xdr:from>
    <xdr:ext cx="5829300" cy="3609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1" sheet="top_10_profit_items"/>
  </cacheSource>
  <cacheFields>
    <cacheField name="product" numFmtId="0">
      <sharedItems>
        <s v="health_beauty"/>
        <s v="watches_gifts"/>
        <s v="bed_bath_table"/>
        <s v="sports_leisure"/>
        <s v="computers_accessories"/>
        <s v="furniture_decor"/>
        <s v="cool_stuff"/>
        <s v="housewares"/>
        <s v="auto"/>
        <s v="garden_tools"/>
      </sharedItems>
    </cacheField>
    <cacheField name="total_profit" numFmtId="0">
      <sharedItems containsSemiMixedTypes="0" containsString="0" containsNumber="1">
        <n v="314691.11"/>
        <n v="301259.83"/>
        <n v="259282.2"/>
        <n v="247032.91"/>
        <n v="228007.19"/>
        <n v="182462.14"/>
        <n v="158831.88"/>
        <n v="158079.14"/>
        <n v="148189.91"/>
        <n v="121326.42"/>
      </sharedItems>
    </cacheField>
    <cacheField name="freight_value" numFmtId="0">
      <sharedItems containsSemiMixedTypes="0" containsString="0" containsNumber="1">
        <n v="182566.73"/>
        <n v="100535.93"/>
        <n v="204693.04"/>
        <n v="168607.51"/>
        <n v="147318.08"/>
        <n v="172749.3"/>
        <n v="84039.1"/>
        <n v="146149.11"/>
        <n v="92664.21"/>
        <n v="98962.75"/>
      </sharedItems>
    </cacheField>
    <cacheField name="pct_profit" numFmtId="0">
      <sharedItems containsSemiMixedTypes="0" containsString="0" containsNumber="1">
        <n v="9.260559675012326"/>
        <n v="8.86531123614858"/>
        <n v="7.630016258700416"/>
        <n v="7.26955078186654"/>
        <n v="6.709672190380192"/>
        <n v="5.369397107851104"/>
        <n v="4.674018605210668"/>
        <n v="4.651867379871736"/>
        <n v="4.360852471459095"/>
        <n v="3.57032822619491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D12" firstHeaderRow="0" firstDataRow="2" firstDataCol="0"/>
  <pivotFields>
    <pivotField name="product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>
          <references>
            <reference field="4294967294">
              <x v="2"/>
            </reference>
          </references>
        </pivotArea>
      </autoSortScope>
    </pivotField>
    <pivotField name="total_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freight_val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ct_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0"/>
  </rowFields>
  <colFields>
    <field x="-2"/>
  </colFields>
  <dataFields>
    <dataField name="SUM of total_profit" fld="1" baseField="0"/>
    <dataField name="SUM of freight_value" fld="2" baseField="0"/>
    <dataField name="SUM of pct_profit" fld="3" baseField="0"/>
  </dataFields>
</pivotTableDefinition>
</file>

<file path=xl/tables/table1.xml><?xml version="1.0" encoding="utf-8"?>
<table xmlns="http://schemas.openxmlformats.org/spreadsheetml/2006/main" ref="A1:D11" displayName="Table1" name="Table1" id="1">
  <tableColumns count="4">
    <tableColumn name="product" id="1"/>
    <tableColumn name="total_profit" id="2"/>
    <tableColumn name="freight_value" id="3"/>
    <tableColumn name="pct_profit" id="4"/>
  </tableColumns>
  <tableStyleInfo name="top_10_profit_item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13.5"/>
    <col customWidth="1" min="3" max="3" width="15.0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</row>
    <row r="2" ht="22.5" customHeight="1">
      <c r="A2" s="3" t="s">
        <v>4</v>
      </c>
      <c r="B2" s="3">
        <v>314691.11</v>
      </c>
      <c r="C2" s="3">
        <v>182566.73</v>
      </c>
      <c r="D2" s="3">
        <f t="array" ref="D2:D11"> Table1[total_profit] / 3398186.73 * 100</f>
        <v>9.260559675</v>
      </c>
    </row>
    <row r="3" ht="22.5" customHeight="1">
      <c r="A3" s="3" t="s">
        <v>5</v>
      </c>
      <c r="B3" s="3">
        <v>301259.83</v>
      </c>
      <c r="C3" s="3">
        <v>100535.93</v>
      </c>
      <c r="D3" s="4">
        <v>8.86531123614858</v>
      </c>
    </row>
    <row r="4" ht="22.5" customHeight="1">
      <c r="A4" s="3" t="s">
        <v>6</v>
      </c>
      <c r="B4" s="3">
        <v>259282.2</v>
      </c>
      <c r="C4" s="3">
        <v>204693.04</v>
      </c>
      <c r="D4" s="4">
        <v>7.630016258700416</v>
      </c>
    </row>
    <row r="5" ht="22.5" customHeight="1">
      <c r="A5" s="3" t="s">
        <v>7</v>
      </c>
      <c r="B5" s="3">
        <v>247032.91</v>
      </c>
      <c r="C5" s="3">
        <v>168607.51</v>
      </c>
      <c r="D5" s="4">
        <v>7.26955078186654</v>
      </c>
    </row>
    <row r="6" ht="22.5" customHeight="1">
      <c r="A6" s="3" t="s">
        <v>8</v>
      </c>
      <c r="B6" s="3">
        <v>228007.19</v>
      </c>
      <c r="C6" s="3">
        <v>147318.08</v>
      </c>
      <c r="D6" s="4">
        <v>6.709672190380192</v>
      </c>
    </row>
    <row r="7" ht="22.5" customHeight="1">
      <c r="A7" s="3" t="s">
        <v>9</v>
      </c>
      <c r="B7" s="3">
        <v>182462.14</v>
      </c>
      <c r="C7" s="3">
        <v>172749.3</v>
      </c>
      <c r="D7" s="4">
        <v>5.369397107851104</v>
      </c>
    </row>
    <row r="8" ht="22.5" customHeight="1">
      <c r="A8" s="3" t="s">
        <v>10</v>
      </c>
      <c r="B8" s="3">
        <v>158831.88</v>
      </c>
      <c r="C8" s="3">
        <v>84039.1</v>
      </c>
      <c r="D8" s="4">
        <v>4.674018605210668</v>
      </c>
    </row>
    <row r="9" ht="22.5" customHeight="1">
      <c r="A9" s="3" t="s">
        <v>11</v>
      </c>
      <c r="B9" s="3">
        <v>158079.14</v>
      </c>
      <c r="C9" s="3">
        <v>146149.11</v>
      </c>
      <c r="D9" s="4">
        <v>4.651867379871736</v>
      </c>
    </row>
    <row r="10" ht="22.5" customHeight="1">
      <c r="A10" s="3" t="s">
        <v>12</v>
      </c>
      <c r="B10" s="3">
        <v>148189.91</v>
      </c>
      <c r="C10" s="3">
        <v>92664.21</v>
      </c>
      <c r="D10" s="4">
        <v>4.360852471459095</v>
      </c>
    </row>
    <row r="11" ht="22.5" customHeight="1">
      <c r="A11" s="3" t="s">
        <v>13</v>
      </c>
      <c r="B11" s="3">
        <v>121326.42</v>
      </c>
      <c r="C11" s="3">
        <v>98962.75</v>
      </c>
      <c r="D11" s="4">
        <v>3.570328226194915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